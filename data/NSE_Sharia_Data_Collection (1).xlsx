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Entry" sheetId="1" state="visible" r:id="rId3"/>
    <sheet name="Results Summary" sheetId="2" state="visible" r:id="rId4"/>
    <sheet name="Data 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<sst xmlns="http://schemas.openxmlformats.org/spreadsheetml/2006/main" count="281" uniqueCount="90">
  <si>
    <t xml:space="preserve">NSE SHARIA SCREENER — DATA COLLECTION (NSE 20)</t>
  </si>
  <si>
    <t xml:space="preserve">Blue = your input  |  Gray = auto-calculated  |  Red = auto-fail (haram sector or ratio breach)</t>
  </si>
  <si>
    <t xml:space="preserve">Company</t>
  </si>
  <si>
    <t xml:space="preserve">Ticker</t>
  </si>
  <si>
    <t xml:space="preserve">Sector</t>
  </si>
  <si>
    <t xml:space="preserve">Total Assets
(Sh.m)</t>
  </si>
  <si>
    <t xml:space="preserve">Total Debt
(interest-bearing)</t>
  </si>
  <si>
    <t xml:space="preserve">Revenue
(Sh.m)</t>
  </si>
  <si>
    <t xml:space="preserve">Interest/Finance
Income (Sh.m)</t>
  </si>
  <si>
    <t xml:space="preserve">Cash + Trade
Receivables (Sh.m)</t>
  </si>
  <si>
    <t xml:space="preserve">Debt/
Assets</t>
  </si>
  <si>
    <t xml:space="preserve">Interest/
Revenue</t>
  </si>
  <si>
    <t xml:space="preserve">Liq./
Assets</t>
  </si>
  <si>
    <t xml:space="preserve">Layer 1
Pass?</t>
  </si>
  <si>
    <t xml:space="preserve">Layer 2
Pass?</t>
  </si>
  <si>
    <t xml:space="preserve">Score
0–100</t>
  </si>
  <si>
    <t xml:space="preserve">Rating</t>
  </si>
  <si>
    <t xml:space="preserve">Safaricom</t>
  </si>
  <si>
    <t xml:space="preserve">SCOM</t>
  </si>
  <si>
    <t xml:space="preserve">Telecom</t>
  </si>
  <si>
    <t xml:space="preserve">YES</t>
  </si>
  <si>
    <t xml:space="preserve">Bamburi Cement</t>
  </si>
  <si>
    <t xml:space="preserve">BAMB</t>
  </si>
  <si>
    <t xml:space="preserve">Manufacturing</t>
  </si>
  <si>
    <t xml:space="preserve">Kenya Airways</t>
  </si>
  <si>
    <t xml:space="preserve">KQ</t>
  </si>
  <si>
    <t xml:space="preserve">Aviation</t>
  </si>
  <si>
    <t xml:space="preserve">Nation Media</t>
  </si>
  <si>
    <t xml:space="preserve">NMG</t>
  </si>
  <si>
    <t xml:space="preserve">Media</t>
  </si>
  <si>
    <t xml:space="preserve">Centum Invest.</t>
  </si>
  <si>
    <t xml:space="preserve">CTUM</t>
  </si>
  <si>
    <t xml:space="preserve">Investment</t>
  </si>
  <si>
    <t xml:space="preserve">Jubilee Hold.</t>
  </si>
  <si>
    <t xml:space="preserve">JUB</t>
  </si>
  <si>
    <t xml:space="preserve">Insurance</t>
  </si>
  <si>
    <t xml:space="preserve">Britam Hold.</t>
  </si>
  <si>
    <t xml:space="preserve">BRIT</t>
  </si>
  <si>
    <t xml:space="preserve">CIC Insurance</t>
  </si>
  <si>
    <t xml:space="preserve">CIC</t>
  </si>
  <si>
    <t xml:space="preserve">Kenya Power</t>
  </si>
  <si>
    <t xml:space="preserve">KPLC</t>
  </si>
  <si>
    <t xml:space="preserve">Utility</t>
  </si>
  <si>
    <t xml:space="preserve">Equity Group</t>
  </si>
  <si>
    <t xml:space="preserve">EQTY</t>
  </si>
  <si>
    <t xml:space="preserve">Banking</t>
  </si>
  <si>
    <t xml:space="preserve">—</t>
  </si>
  <si>
    <t xml:space="preserve">NO</t>
  </si>
  <si>
    <t xml:space="preserve">D</t>
  </si>
  <si>
    <t xml:space="preserve">KCB Group</t>
  </si>
  <si>
    <t xml:space="preserve">KCB</t>
  </si>
  <si>
    <t xml:space="preserve">Cooperative Bk</t>
  </si>
  <si>
    <t xml:space="preserve">COOP</t>
  </si>
  <si>
    <t xml:space="preserve">Std Chartered</t>
  </si>
  <si>
    <t xml:space="preserve">SCBK</t>
  </si>
  <si>
    <t xml:space="preserve">ABSA Bank</t>
  </si>
  <si>
    <t xml:space="preserve">ABSA</t>
  </si>
  <si>
    <t xml:space="preserve">Diamond Trust</t>
  </si>
  <si>
    <t xml:space="preserve">DTK</t>
  </si>
  <si>
    <t xml:space="preserve">NCBA Group</t>
  </si>
  <si>
    <t xml:space="preserve">NCBA</t>
  </si>
  <si>
    <t xml:space="preserve">I&amp;M Group</t>
  </si>
  <si>
    <t xml:space="preserve">IMH</t>
  </si>
  <si>
    <t xml:space="preserve">Stanbic Hold.</t>
  </si>
  <si>
    <t xml:space="preserve">CFC</t>
  </si>
  <si>
    <t xml:space="preserve">EA Breweries</t>
  </si>
  <si>
    <t xml:space="preserve">EABL</t>
  </si>
  <si>
    <t xml:space="preserve">Alcohol</t>
  </si>
  <si>
    <t xml:space="preserve">BAT Kenya</t>
  </si>
  <si>
    <t xml:space="preserve">BAT</t>
  </si>
  <si>
    <t xml:space="preserve">Tobacco</t>
  </si>
  <si>
    <t xml:space="preserve">SHARIA SCREEN RESULTS — NSE 20</t>
  </si>
  <si>
    <t xml:space="preserve">Layer 1</t>
  </si>
  <si>
    <t xml:space="preserve">Layer 2</t>
  </si>
  <si>
    <t xml:space="preserve">Score</t>
  </si>
  <si>
    <t xml:space="preserve">DATA SOURCES &amp; NOTES</t>
  </si>
  <si>
    <t xml:space="preserve">Notes on data source and figures used</t>
  </si>
  <si>
    <t xml:space="preserve">FY2024 consolidated. Assets 641,164M. Debt = LT 63,093 + ST 45,054. Revenue 349,447M. Finance income 5,460M. Cash 22,868 + Receivables 48,119.</t>
  </si>
  <si>
    <t xml:space="preserve">FY2024 consolidated. Assets 33,006M. No borrowings (nil 2024). Revenue 41,381M (from revenue summary). Finance income 310M. Cash 5,249 + Receivables 1,872.</t>
  </si>
  <si>
    <t xml:space="preserve">FY2024. Assets 179,104M. Debt = LT 126,300 + ST 21,785. Revenue 188,495M. Interest income 69M. Cash 5,781 + Receivables 20,361.</t>
  </si>
  <si>
    <t xml:space="preserve">FY2024 consolidated. Assets 10,700.5M. No borrowings. Revenue 6,229.6M. Finance income 270.6M. Cash 1,342 + Receivables 3,226.</t>
  </si>
  <si>
    <t xml:space="preserve">FY March 2024. Figures in KShs'000 converted to millions. Assets 76,171.9M. Debt 1,614.4M. Revenue = trading + real estate 6,332.4M. Finance income 607.4M. Cash + receivables 9,659.5M.</t>
  </si>
  <si>
    <t xml:space="preserve">FY2025 (Dec 2025). Figures in KShs'000 converted to millions. Assets 251,082.9M. No borrowings. Revenue = insurance revenue 29,920.9M. Interest revenue 22,572.2M — NOTE: very high ratio flags this company. Cash + receivables 11,144.5M.</t>
  </si>
  <si>
    <t xml:space="preserve">FY2024. Assets 208,531.8M. Debt 1,100.6M. Revenue = insurance revenue 37,556.7M. Interest income 19,408.4M — NOTE: ratio will flag. Cash 7,079.3 + Receivables 2,145.5.</t>
  </si>
  <si>
    <t xml:space="preserve">FY2024. Assets 61,937.7M. Borrowings 5,271.4M. Revenue = insurance revenue 26,348.8M. Interest revenue 6,046.4M — ratio will flag. Cash 823.3 + Receivables 928.5.</t>
  </si>
  <si>
    <t xml:space="preserve">FY2025 (June 2025). Assets 389,039M. Debt = loan book 87,640M (per management commentary). Revenue 219,285M. Interest income 625M. Cash 7,685 + current assets 90,685.</t>
  </si>
  <si>
    <t xml:space="preserve">KEY INSIGHT</t>
  </si>
  <si>
    <t xml:space="preserve">Insurance companies (Jubilee, Britam, CIC) will fail Layer 2 on interest income ratio — their core business model earns interest on investment portfolios, which is riba. This is expected and is a real finding for your screener.</t>
  </si>
  <si>
    <t xml:space="preserve">Kenya Airways has very high debt/assets (82.7%) — will fail Layer 2.</t>
  </si>
  <si>
    <t xml:space="preserve">Kenya Power has high liquidity/assets ratio (~25%) but passes. Debt/assets at 22.5% passes.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</si>
</sst>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993333"/>
      <name val="Arial"/>
      <family val="0"/>
      <charset val="1"/>
    </font>
    <font>
      <b val="true"/>
      <sz val="10"/>
      <color rgb="FF993333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DD7EE"/>
        <bgColor rgb="FF99CCFF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EBF3FB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CC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33"/>
      <rgbColor rgb="FFF2F2F2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3" min="11" style="0" width="9"/>
    <col collapsed="false" customWidth="true" hidden="false" outlineLevel="0" max="14" min="14" style="0" width="8"/>
    <col collapsed="false" customWidth="true" hidden="false" outlineLevel="0" max="15" min="15" style="0" width="7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42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customFormat="false" ht="18" hidden="false" customHeight="true" outlineLevel="0" collapsed="false">
      <c r="A4" s="4" t="s">
        <v>17</v>
      </c>
      <c r="B4" s="5" t="s">
        <v>18</v>
      </c>
      <c r="C4" s="6" t="s">
        <v>19</v>
      </c>
      <c r="D4" s="7" t="n">
        <v>641164.3</v>
      </c>
      <c r="E4" s="7" t="n">
        <v>108146.8</v>
      </c>
      <c r="F4" s="7" t="n">
        <v>349447.2</v>
      </c>
      <c r="G4" s="7" t="n">
        <v>5459.6</v>
      </c>
      <c r="H4" s="7" t="n">
        <v>70987.2</v>
      </c>
      <c r="I4" s="8" t="n">
        <f aca="false">IFERROR(E4/D4,"")</f>
        <v>0.168672522783942</v>
      </c>
      <c r="J4" s="8" t="n">
        <f aca="false">IFERROR(G4/F4,"")</f>
        <v>0.0156235333978924</v>
      </c>
      <c r="K4" s="8" t="n">
        <f aca="false">IFERROR(H4/D4,"")</f>
        <v>0.11071608322547</v>
      </c>
      <c r="L4" s="9" t="s">
        <v>20</v>
      </c>
      <c r="M4" s="10" t="str">
        <f aca="false">IFERROR(IF(AND(I4&lt;0.33,J4&lt;0.05,K4&lt;0.33),"YES","NO"),"")</f>
        <v>YES</v>
      </c>
      <c r="N4" s="10" t="n">
        <f aca="false">IFERROR(40+IF(I4&lt;0.33,20,IF(I4&lt;0.5,10,0))+IF(J4&lt;0.05,20,IF(J4&lt;0.1,10,0))+IF(K4&lt;0.33,20,IF(K4&lt;0.5,10,0)),0)</f>
        <v>100</v>
      </c>
      <c r="O4" s="10" t="str">
        <f aca="false">IFERROR(IF(N4&gt;=80,"A",IF(N4&gt;=60,"B",IF(N4&gt;=40,"C","D"))),"")</f>
        <v>A</v>
      </c>
    </row>
    <row r="5" customFormat="false" ht="18" hidden="false" customHeight="true" outlineLevel="0" collapsed="false">
      <c r="A5" s="4" t="s">
        <v>21</v>
      </c>
      <c r="B5" s="5" t="s">
        <v>22</v>
      </c>
      <c r="C5" s="6" t="s">
        <v>23</v>
      </c>
      <c r="D5" s="7" t="n">
        <v>33006</v>
      </c>
      <c r="E5" s="7" t="n">
        <v>0</v>
      </c>
      <c r="F5" s="7" t="n">
        <v>41381</v>
      </c>
      <c r="G5" s="7" t="n">
        <v>310</v>
      </c>
      <c r="H5" s="7" t="n">
        <v>7121</v>
      </c>
      <c r="I5" s="8" t="n">
        <f aca="false">IFERROR(E5/D5,"")</f>
        <v>0</v>
      </c>
      <c r="J5" s="8" t="n">
        <f aca="false">IFERROR(G5/F5,"")</f>
        <v>0.00749136076943525</v>
      </c>
      <c r="K5" s="8" t="n">
        <f aca="false">IFERROR(H5/D5,"")</f>
        <v>0.215748651760286</v>
      </c>
      <c r="L5" s="9" t="s">
        <v>20</v>
      </c>
      <c r="M5" s="10" t="str">
        <f aca="false">IFERROR(IF(AND(I5&lt;0.33,J5&lt;0.05,K5&lt;0.33),"YES","NO"),"")</f>
        <v>YES</v>
      </c>
      <c r="N5" s="10" t="n">
        <f aca="false">IFERROR(40+IF(I5&lt;0.33,20,IF(I5&lt;0.5,10,0))+IF(J5&lt;0.05,20,IF(J5&lt;0.1,10,0))+IF(K5&lt;0.33,20,IF(K5&lt;0.5,10,0)),0)</f>
        <v>100</v>
      </c>
      <c r="O5" s="10" t="str">
        <f aca="false">IFERROR(IF(N5&gt;=80,"A",IF(N5&gt;=60,"B",IF(N5&gt;=40,"C","D"))),"")</f>
        <v>A</v>
      </c>
    </row>
    <row r="6" customFormat="false" ht="18" hidden="false" customHeight="true" outlineLevel="0" collapsed="false">
      <c r="A6" s="4" t="s">
        <v>24</v>
      </c>
      <c r="B6" s="5" t="s">
        <v>25</v>
      </c>
      <c r="C6" s="6" t="s">
        <v>26</v>
      </c>
      <c r="D6" s="7" t="n">
        <v>179104</v>
      </c>
      <c r="E6" s="7" t="n">
        <v>148085</v>
      </c>
      <c r="F6" s="7" t="n">
        <v>188495</v>
      </c>
      <c r="G6" s="7" t="n">
        <v>69</v>
      </c>
      <c r="H6" s="7" t="n">
        <v>26142</v>
      </c>
      <c r="I6" s="8" t="n">
        <f aca="false">IFERROR(E6/D6,"")</f>
        <v>0.826810121493657</v>
      </c>
      <c r="J6" s="8" t="n">
        <f aca="false">IFERROR(G6/F6,"")</f>
        <v>0.00036605745510491</v>
      </c>
      <c r="K6" s="8" t="n">
        <f aca="false">IFERROR(H6/D6,"")</f>
        <v>0.145959889226371</v>
      </c>
      <c r="L6" s="9" t="s">
        <v>20</v>
      </c>
      <c r="M6" s="10" t="str">
        <f aca="false">IFERROR(IF(AND(I6&lt;0.33,J6&lt;0.05,K6&lt;0.33),"YES","NO"),"")</f>
        <v>NO</v>
      </c>
      <c r="N6" s="10" t="n">
        <f aca="false">IFERROR(40+IF(I6&lt;0.33,20,IF(I6&lt;0.5,10,0))+IF(J6&lt;0.05,20,IF(J6&lt;0.1,10,0))+IF(K6&lt;0.33,20,IF(K6&lt;0.5,10,0)),0)</f>
        <v>80</v>
      </c>
      <c r="O6" s="10" t="str">
        <f aca="false">IFERROR(IF(N6&gt;=80,"A",IF(N6&gt;=60,"B",IF(N6&gt;=40,"C","D"))),"")</f>
        <v>A</v>
      </c>
    </row>
    <row r="7" customFormat="false" ht="18" hidden="false" customHeight="true" outlineLevel="0" collapsed="false">
      <c r="A7" s="4" t="s">
        <v>27</v>
      </c>
      <c r="B7" s="5" t="s">
        <v>28</v>
      </c>
      <c r="C7" s="6" t="s">
        <v>29</v>
      </c>
      <c r="D7" s="7" t="n">
        <v>10700.5</v>
      </c>
      <c r="E7" s="7" t="n">
        <v>0</v>
      </c>
      <c r="F7" s="7" t="n">
        <v>6229.6</v>
      </c>
      <c r="G7" s="7" t="n">
        <v>270.6</v>
      </c>
      <c r="H7" s="7" t="n">
        <v>4568.2</v>
      </c>
      <c r="I7" s="8" t="n">
        <f aca="false">IFERROR(E7/D7,"")</f>
        <v>0</v>
      </c>
      <c r="J7" s="8" t="n">
        <f aca="false">IFERROR(G7/F7,"")</f>
        <v>0.0434377809169128</v>
      </c>
      <c r="K7" s="8" t="n">
        <f aca="false">IFERROR(H7/D7,"")</f>
        <v>0.426914630157469</v>
      </c>
      <c r="L7" s="9" t="s">
        <v>20</v>
      </c>
      <c r="M7" s="10" t="str">
        <f aca="false">IFERROR(IF(AND(I7&lt;0.33,J7&lt;0.05,K7&lt;0.33),"YES","NO"),"")</f>
        <v>NO</v>
      </c>
      <c r="N7" s="10" t="n">
        <f aca="false">IFERROR(40+IF(I7&lt;0.33,20,IF(I7&lt;0.5,10,0))+IF(J7&lt;0.05,20,IF(J7&lt;0.1,10,0))+IF(K7&lt;0.33,20,IF(K7&lt;0.5,10,0)),0)</f>
        <v>90</v>
      </c>
      <c r="O7" s="10" t="str">
        <f aca="false">IFERROR(IF(N7&gt;=80,"A",IF(N7&gt;=60,"B",IF(N7&gt;=40,"C","D"))),"")</f>
        <v>A</v>
      </c>
    </row>
    <row r="8" customFormat="false" ht="18" hidden="false" customHeight="true" outlineLevel="0" collapsed="false">
      <c r="A8" s="4" t="s">
        <v>30</v>
      </c>
      <c r="B8" s="5" t="s">
        <v>31</v>
      </c>
      <c r="C8" s="6" t="s">
        <v>32</v>
      </c>
      <c r="D8" s="7" t="n">
        <v>76171.9</v>
      </c>
      <c r="E8" s="7" t="n">
        <v>1614.4</v>
      </c>
      <c r="F8" s="7" t="n">
        <v>6332.4</v>
      </c>
      <c r="G8" s="7" t="n">
        <v>607.4</v>
      </c>
      <c r="H8" s="7" t="n">
        <v>9659.5</v>
      </c>
      <c r="I8" s="8" t="n">
        <f aca="false">IFERROR(E8/D8,"")</f>
        <v>0.0211941674029399</v>
      </c>
      <c r="J8" s="8" t="n">
        <f aca="false">IFERROR(G8/F8,"")</f>
        <v>0.0959193986482218</v>
      </c>
      <c r="K8" s="8" t="n">
        <f aca="false">IFERROR(H8/D8,"")</f>
        <v>0.126811855815596</v>
      </c>
      <c r="L8" s="9" t="s">
        <v>20</v>
      </c>
      <c r="M8" s="10" t="str">
        <f aca="false">IFERROR(IF(AND(I8&lt;0.33,J8&lt;0.05,K8&lt;0.33),"YES","NO"),"")</f>
        <v>NO</v>
      </c>
      <c r="N8" s="10" t="n">
        <f aca="false">IFERROR(40+IF(I8&lt;0.33,20,IF(I8&lt;0.5,10,0))+IF(J8&lt;0.05,20,IF(J8&lt;0.1,10,0))+IF(K8&lt;0.33,20,IF(K8&lt;0.5,10,0)),0)</f>
        <v>90</v>
      </c>
      <c r="O8" s="10" t="str">
        <f aca="false">IFERROR(IF(N8&gt;=80,"A",IF(N8&gt;=60,"B",IF(N8&gt;=40,"C","D"))),"")</f>
        <v>A</v>
      </c>
    </row>
    <row r="9" customFormat="false" ht="18" hidden="false" customHeight="true" outlineLevel="0" collapsed="false">
      <c r="A9" s="4" t="s">
        <v>33</v>
      </c>
      <c r="B9" s="5" t="s">
        <v>34</v>
      </c>
      <c r="C9" s="6" t="s">
        <v>35</v>
      </c>
      <c r="D9" s="7" t="n">
        <v>251082.9</v>
      </c>
      <c r="E9" s="7" t="n">
        <v>0</v>
      </c>
      <c r="F9" s="7" t="n">
        <v>29920.9</v>
      </c>
      <c r="G9" s="7" t="n">
        <v>22572.2</v>
      </c>
      <c r="H9" s="7" t="n">
        <v>11144.5</v>
      </c>
      <c r="I9" s="8" t="n">
        <f aca="false">IFERROR(E9/D9,"")</f>
        <v>0</v>
      </c>
      <c r="J9" s="8" t="n">
        <f aca="false">IFERROR(G9/F9,"")</f>
        <v>0.754395756812128</v>
      </c>
      <c r="K9" s="8" t="n">
        <f aca="false">IFERROR(H9/D9,"")</f>
        <v>0.0443857387340994</v>
      </c>
      <c r="L9" s="9" t="s">
        <v>20</v>
      </c>
      <c r="M9" s="10" t="str">
        <f aca="false">IFERROR(IF(AND(I9&lt;0.33,J9&lt;0.05,K9&lt;0.33),"YES","NO"),"")</f>
        <v>NO</v>
      </c>
      <c r="N9" s="10" t="n">
        <f aca="false">IFERROR(40+IF(I9&lt;0.33,20,IF(I9&lt;0.5,10,0))+IF(J9&lt;0.05,20,IF(J9&lt;0.1,10,0))+IF(K9&lt;0.33,20,IF(K9&lt;0.5,10,0)),0)</f>
        <v>80</v>
      </c>
      <c r="O9" s="10" t="str">
        <f aca="false">IFERROR(IF(N9&gt;=80,"A",IF(N9&gt;=60,"B",IF(N9&gt;=40,"C","D"))),"")</f>
        <v>A</v>
      </c>
    </row>
    <row r="10" customFormat="false" ht="18" hidden="false" customHeight="true" outlineLevel="0" collapsed="false">
      <c r="A10" s="4" t="s">
        <v>36</v>
      </c>
      <c r="B10" s="5" t="s">
        <v>37</v>
      </c>
      <c r="C10" s="6" t="s">
        <v>35</v>
      </c>
      <c r="D10" s="7" t="n">
        <v>208531.8</v>
      </c>
      <c r="E10" s="7" t="n">
        <v>1100.6</v>
      </c>
      <c r="F10" s="7" t="n">
        <v>37556.7</v>
      </c>
      <c r="G10" s="7" t="n">
        <v>19408.4</v>
      </c>
      <c r="H10" s="7" t="n">
        <v>9224.8</v>
      </c>
      <c r="I10" s="8" t="n">
        <f aca="false">IFERROR(E10/D10,"")</f>
        <v>0.00527785210696882</v>
      </c>
      <c r="J10" s="8" t="n">
        <f aca="false">IFERROR(G10/F10,"")</f>
        <v>0.516775968069612</v>
      </c>
      <c r="K10" s="8" t="n">
        <f aca="false">IFERROR(H10/D10,"")</f>
        <v>0.0442368981613356</v>
      </c>
      <c r="L10" s="9" t="s">
        <v>20</v>
      </c>
      <c r="M10" s="10" t="str">
        <f aca="false">IFERROR(IF(AND(I10&lt;0.33,J10&lt;0.05,K10&lt;0.33),"YES","NO"),"")</f>
        <v>NO</v>
      </c>
      <c r="N10" s="10" t="n">
        <f aca="false">IFERROR(40+IF(I10&lt;0.33,20,IF(I10&lt;0.5,10,0))+IF(J10&lt;0.05,20,IF(J10&lt;0.1,10,0))+IF(K10&lt;0.33,20,IF(K10&lt;0.5,10,0)),0)</f>
        <v>80</v>
      </c>
      <c r="O10" s="10" t="str">
        <f aca="false">IFERROR(IF(N10&gt;=80,"A",IF(N10&gt;=60,"B",IF(N10&gt;=40,"C","D"))),"")</f>
        <v>A</v>
      </c>
    </row>
    <row r="11" customFormat="false" ht="18" hidden="false" customHeight="true" outlineLevel="0" collapsed="false">
      <c r="A11" s="4" t="s">
        <v>38</v>
      </c>
      <c r="B11" s="5" t="s">
        <v>39</v>
      </c>
      <c r="C11" s="6" t="s">
        <v>35</v>
      </c>
      <c r="D11" s="7" t="n">
        <v>61937.7</v>
      </c>
      <c r="E11" s="7" t="n">
        <v>5271.4</v>
      </c>
      <c r="F11" s="7" t="n">
        <v>26348.8</v>
      </c>
      <c r="G11" s="7" t="n">
        <v>6046.4</v>
      </c>
      <c r="H11" s="7" t="n">
        <v>1751.8</v>
      </c>
      <c r="I11" s="8" t="n">
        <f aca="false">IFERROR(E11/D11,"")</f>
        <v>0.0851081005591102</v>
      </c>
      <c r="J11" s="8" t="n">
        <f aca="false">IFERROR(G11/F11,"")</f>
        <v>0.22947534612582</v>
      </c>
      <c r="K11" s="8" t="n">
        <f aca="false">IFERROR(H11/D11,"")</f>
        <v>0.0282832588229786</v>
      </c>
      <c r="L11" s="9" t="s">
        <v>20</v>
      </c>
      <c r="M11" s="10" t="str">
        <f aca="false">IFERROR(IF(AND(I11&lt;0.33,J11&lt;0.05,K11&lt;0.33),"YES","NO"),"")</f>
        <v>NO</v>
      </c>
      <c r="N11" s="10" t="n">
        <f aca="false">IFERROR(40+IF(I11&lt;0.33,20,IF(I11&lt;0.5,10,0))+IF(J11&lt;0.05,20,IF(J11&lt;0.1,10,0))+IF(K11&lt;0.33,20,IF(K11&lt;0.5,10,0)),0)</f>
        <v>80</v>
      </c>
      <c r="O11" s="10" t="str">
        <f aca="false">IFERROR(IF(N11&gt;=80,"A",IF(N11&gt;=60,"B",IF(N11&gt;=40,"C","D"))),"")</f>
        <v>A</v>
      </c>
    </row>
    <row r="12" customFormat="false" ht="18" hidden="false" customHeight="true" outlineLevel="0" collapsed="false">
      <c r="A12" s="4" t="s">
        <v>40</v>
      </c>
      <c r="B12" s="5" t="s">
        <v>41</v>
      </c>
      <c r="C12" s="6" t="s">
        <v>42</v>
      </c>
      <c r="D12" s="7" t="n">
        <v>389039</v>
      </c>
      <c r="E12" s="7" t="n">
        <v>87640</v>
      </c>
      <c r="F12" s="7" t="n">
        <v>219285</v>
      </c>
      <c r="G12" s="7" t="n">
        <v>625</v>
      </c>
      <c r="H12" s="7" t="n">
        <v>98370</v>
      </c>
      <c r="I12" s="8" t="n">
        <f aca="false">IFERROR(E12/D12,"")</f>
        <v>0.225273044604783</v>
      </c>
      <c r="J12" s="8" t="n">
        <f aca="false">IFERROR(G12/F12,"")</f>
        <v>0.00285017215039788</v>
      </c>
      <c r="K12" s="8" t="n">
        <f aca="false">IFERROR(H12/D12,"")</f>
        <v>0.252853826994209</v>
      </c>
      <c r="L12" s="9" t="s">
        <v>20</v>
      </c>
      <c r="M12" s="10" t="str">
        <f aca="false">IFERROR(IF(AND(I12&lt;0.33,J12&lt;0.05,K12&lt;0.33),"YES","NO"),"")</f>
        <v>YES</v>
      </c>
      <c r="N12" s="10" t="n">
        <f aca="false">IFERROR(40+IF(I12&lt;0.33,20,IF(I12&lt;0.5,10,0))+IF(J12&lt;0.05,20,IF(J12&lt;0.1,10,0))+IF(K12&lt;0.33,20,IF(K12&lt;0.5,10,0)),0)</f>
        <v>100</v>
      </c>
      <c r="O12" s="10" t="str">
        <f aca="false">IFERROR(IF(N12&gt;=80,"A",IF(N12&gt;=60,"B",IF(N12&gt;=40,"C","D"))),"")</f>
        <v>A</v>
      </c>
    </row>
    <row r="13" customFormat="false" ht="18" hidden="false" customHeight="true" outlineLevel="0" collapsed="false">
      <c r="A13" s="11" t="s">
        <v>43</v>
      </c>
      <c r="B13" s="12" t="s">
        <v>44</v>
      </c>
      <c r="C13" s="12" t="s">
        <v>45</v>
      </c>
      <c r="D13" s="13" t="s">
        <v>46</v>
      </c>
      <c r="E13" s="13" t="s">
        <v>46</v>
      </c>
      <c r="F13" s="13" t="s">
        <v>46</v>
      </c>
      <c r="G13" s="13" t="s">
        <v>46</v>
      </c>
      <c r="H13" s="13" t="s">
        <v>46</v>
      </c>
      <c r="I13" s="13" t="s">
        <v>46</v>
      </c>
      <c r="J13" s="13" t="s">
        <v>46</v>
      </c>
      <c r="K13" s="13" t="s">
        <v>46</v>
      </c>
      <c r="L13" s="14" t="s">
        <v>47</v>
      </c>
      <c r="M13" s="14" t="s">
        <v>47</v>
      </c>
      <c r="N13" s="14" t="n">
        <v>0</v>
      </c>
      <c r="O13" s="14" t="s">
        <v>48</v>
      </c>
    </row>
    <row r="14" customFormat="false" ht="18" hidden="false" customHeight="true" outlineLevel="0" collapsed="false">
      <c r="A14" s="11" t="s">
        <v>49</v>
      </c>
      <c r="B14" s="12" t="s">
        <v>50</v>
      </c>
      <c r="C14" s="12" t="s">
        <v>45</v>
      </c>
      <c r="D14" s="13" t="s">
        <v>46</v>
      </c>
      <c r="E14" s="13" t="s">
        <v>46</v>
      </c>
      <c r="F14" s="13" t="s">
        <v>46</v>
      </c>
      <c r="G14" s="13" t="s">
        <v>46</v>
      </c>
      <c r="H14" s="13" t="s">
        <v>46</v>
      </c>
      <c r="I14" s="13" t="s">
        <v>46</v>
      </c>
      <c r="J14" s="13" t="s">
        <v>46</v>
      </c>
      <c r="K14" s="13" t="s">
        <v>46</v>
      </c>
      <c r="L14" s="14" t="s">
        <v>47</v>
      </c>
      <c r="M14" s="14" t="s">
        <v>47</v>
      </c>
      <c r="N14" s="14" t="n">
        <v>0</v>
      </c>
      <c r="O14" s="14" t="s">
        <v>48</v>
      </c>
    </row>
    <row r="15" customFormat="false" ht="18" hidden="false" customHeight="true" outlineLevel="0" collapsed="false">
      <c r="A15" s="11" t="s">
        <v>51</v>
      </c>
      <c r="B15" s="12" t="s">
        <v>52</v>
      </c>
      <c r="C15" s="12" t="s">
        <v>45</v>
      </c>
      <c r="D15" s="13" t="s">
        <v>46</v>
      </c>
      <c r="E15" s="13" t="s">
        <v>46</v>
      </c>
      <c r="F15" s="13" t="s">
        <v>46</v>
      </c>
      <c r="G15" s="13" t="s">
        <v>46</v>
      </c>
      <c r="H15" s="13" t="s">
        <v>46</v>
      </c>
      <c r="I15" s="13" t="s">
        <v>46</v>
      </c>
      <c r="J15" s="13" t="s">
        <v>46</v>
      </c>
      <c r="K15" s="13" t="s">
        <v>46</v>
      </c>
      <c r="L15" s="14" t="s">
        <v>47</v>
      </c>
      <c r="M15" s="14" t="s">
        <v>47</v>
      </c>
      <c r="N15" s="14" t="n">
        <v>0</v>
      </c>
      <c r="O15" s="14" t="s">
        <v>48</v>
      </c>
    </row>
    <row r="16" customFormat="false" ht="18" hidden="false" customHeight="true" outlineLevel="0" collapsed="false">
      <c r="A16" s="11" t="s">
        <v>53</v>
      </c>
      <c r="B16" s="12" t="s">
        <v>54</v>
      </c>
      <c r="C16" s="12" t="s">
        <v>45</v>
      </c>
      <c r="D16" s="13" t="s">
        <v>46</v>
      </c>
      <c r="E16" s="13" t="s">
        <v>46</v>
      </c>
      <c r="F16" s="13" t="s">
        <v>46</v>
      </c>
      <c r="G16" s="13" t="s">
        <v>46</v>
      </c>
      <c r="H16" s="13" t="s">
        <v>46</v>
      </c>
      <c r="I16" s="13" t="s">
        <v>46</v>
      </c>
      <c r="J16" s="13" t="s">
        <v>46</v>
      </c>
      <c r="K16" s="13" t="s">
        <v>46</v>
      </c>
      <c r="L16" s="14" t="s">
        <v>47</v>
      </c>
      <c r="M16" s="14" t="s">
        <v>47</v>
      </c>
      <c r="N16" s="14" t="n">
        <v>0</v>
      </c>
      <c r="O16" s="14" t="s">
        <v>48</v>
      </c>
    </row>
    <row r="17" customFormat="false" ht="18" hidden="false" customHeight="true" outlineLevel="0" collapsed="false">
      <c r="A17" s="11" t="s">
        <v>55</v>
      </c>
      <c r="B17" s="12" t="s">
        <v>56</v>
      </c>
      <c r="C17" s="12" t="s">
        <v>45</v>
      </c>
      <c r="D17" s="13" t="s">
        <v>46</v>
      </c>
      <c r="E17" s="13" t="s">
        <v>46</v>
      </c>
      <c r="F17" s="13" t="s">
        <v>46</v>
      </c>
      <c r="G17" s="13" t="s">
        <v>46</v>
      </c>
      <c r="H17" s="13" t="s">
        <v>46</v>
      </c>
      <c r="I17" s="13" t="s">
        <v>46</v>
      </c>
      <c r="J17" s="13" t="s">
        <v>46</v>
      </c>
      <c r="K17" s="13" t="s">
        <v>46</v>
      </c>
      <c r="L17" s="14" t="s">
        <v>47</v>
      </c>
      <c r="M17" s="14" t="s">
        <v>47</v>
      </c>
      <c r="N17" s="14" t="n">
        <v>0</v>
      </c>
      <c r="O17" s="14" t="s">
        <v>48</v>
      </c>
    </row>
    <row r="18" customFormat="false" ht="18" hidden="false" customHeight="true" outlineLevel="0" collapsed="false">
      <c r="A18" s="11" t="s">
        <v>57</v>
      </c>
      <c r="B18" s="12" t="s">
        <v>58</v>
      </c>
      <c r="C18" s="12" t="s">
        <v>45</v>
      </c>
      <c r="D18" s="13" t="s">
        <v>46</v>
      </c>
      <c r="E18" s="13" t="s">
        <v>46</v>
      </c>
      <c r="F18" s="13" t="s">
        <v>46</v>
      </c>
      <c r="G18" s="13" t="s">
        <v>46</v>
      </c>
      <c r="H18" s="13" t="s">
        <v>46</v>
      </c>
      <c r="I18" s="13" t="s">
        <v>46</v>
      </c>
      <c r="J18" s="13" t="s">
        <v>46</v>
      </c>
      <c r="K18" s="13" t="s">
        <v>46</v>
      </c>
      <c r="L18" s="14" t="s">
        <v>47</v>
      </c>
      <c r="M18" s="14" t="s">
        <v>47</v>
      </c>
      <c r="N18" s="14" t="n">
        <v>0</v>
      </c>
      <c r="O18" s="14" t="s">
        <v>48</v>
      </c>
    </row>
    <row r="19" customFormat="false" ht="18" hidden="false" customHeight="true" outlineLevel="0" collapsed="false">
      <c r="A19" s="11" t="s">
        <v>59</v>
      </c>
      <c r="B19" s="12" t="s">
        <v>60</v>
      </c>
      <c r="C19" s="12" t="s">
        <v>45</v>
      </c>
      <c r="D19" s="13" t="s">
        <v>46</v>
      </c>
      <c r="E19" s="13" t="s">
        <v>46</v>
      </c>
      <c r="F19" s="13" t="s">
        <v>46</v>
      </c>
      <c r="G19" s="13" t="s">
        <v>46</v>
      </c>
      <c r="H19" s="13" t="s">
        <v>46</v>
      </c>
      <c r="I19" s="13" t="s">
        <v>46</v>
      </c>
      <c r="J19" s="13" t="s">
        <v>46</v>
      </c>
      <c r="K19" s="13" t="s">
        <v>46</v>
      </c>
      <c r="L19" s="14" t="s">
        <v>47</v>
      </c>
      <c r="M19" s="14" t="s">
        <v>47</v>
      </c>
      <c r="N19" s="14" t="n">
        <v>0</v>
      </c>
      <c r="O19" s="14" t="s">
        <v>48</v>
      </c>
    </row>
    <row r="20" customFormat="false" ht="18" hidden="false" customHeight="true" outlineLevel="0" collapsed="false">
      <c r="A20" s="11" t="s">
        <v>61</v>
      </c>
      <c r="B20" s="12" t="s">
        <v>62</v>
      </c>
      <c r="C20" s="12" t="s">
        <v>45</v>
      </c>
      <c r="D20" s="13" t="s">
        <v>46</v>
      </c>
      <c r="E20" s="13" t="s">
        <v>46</v>
      </c>
      <c r="F20" s="13" t="s">
        <v>46</v>
      </c>
      <c r="G20" s="13" t="s">
        <v>46</v>
      </c>
      <c r="H20" s="13" t="s">
        <v>46</v>
      </c>
      <c r="I20" s="13" t="s">
        <v>46</v>
      </c>
      <c r="J20" s="13" t="s">
        <v>46</v>
      </c>
      <c r="K20" s="13" t="s">
        <v>46</v>
      </c>
      <c r="L20" s="14" t="s">
        <v>47</v>
      </c>
      <c r="M20" s="14" t="s">
        <v>47</v>
      </c>
      <c r="N20" s="14" t="n">
        <v>0</v>
      </c>
      <c r="O20" s="14" t="s">
        <v>48</v>
      </c>
    </row>
    <row r="21" customFormat="false" ht="18" hidden="false" customHeight="true" outlineLevel="0" collapsed="false">
      <c r="A21" s="11" t="s">
        <v>63</v>
      </c>
      <c r="B21" s="12" t="s">
        <v>64</v>
      </c>
      <c r="C21" s="12" t="s">
        <v>45</v>
      </c>
      <c r="D21" s="13" t="s">
        <v>46</v>
      </c>
      <c r="E21" s="13" t="s">
        <v>46</v>
      </c>
      <c r="F21" s="13" t="s">
        <v>46</v>
      </c>
      <c r="G21" s="13" t="s">
        <v>46</v>
      </c>
      <c r="H21" s="13" t="s">
        <v>46</v>
      </c>
      <c r="I21" s="13" t="s">
        <v>46</v>
      </c>
      <c r="J21" s="13" t="s">
        <v>46</v>
      </c>
      <c r="K21" s="13" t="s">
        <v>46</v>
      </c>
      <c r="L21" s="14" t="s">
        <v>47</v>
      </c>
      <c r="M21" s="14" t="s">
        <v>47</v>
      </c>
      <c r="N21" s="14" t="n">
        <v>0</v>
      </c>
      <c r="O21" s="14" t="s">
        <v>48</v>
      </c>
    </row>
    <row r="22" customFormat="false" ht="18" hidden="false" customHeight="true" outlineLevel="0" collapsed="false">
      <c r="A22" s="11" t="s">
        <v>65</v>
      </c>
      <c r="B22" s="12" t="s">
        <v>66</v>
      </c>
      <c r="C22" s="12" t="s">
        <v>67</v>
      </c>
      <c r="D22" s="13" t="s">
        <v>46</v>
      </c>
      <c r="E22" s="13" t="s">
        <v>46</v>
      </c>
      <c r="F22" s="13" t="s">
        <v>46</v>
      </c>
      <c r="G22" s="13" t="s">
        <v>46</v>
      </c>
      <c r="H22" s="13" t="s">
        <v>46</v>
      </c>
      <c r="I22" s="13" t="s">
        <v>46</v>
      </c>
      <c r="J22" s="13" t="s">
        <v>46</v>
      </c>
      <c r="K22" s="13" t="s">
        <v>46</v>
      </c>
      <c r="L22" s="14" t="s">
        <v>47</v>
      </c>
      <c r="M22" s="14" t="s">
        <v>47</v>
      </c>
      <c r="N22" s="14" t="n">
        <v>0</v>
      </c>
      <c r="O22" s="14" t="s">
        <v>48</v>
      </c>
    </row>
    <row r="23" customFormat="false" ht="18" hidden="false" customHeight="true" outlineLevel="0" collapsed="false">
      <c r="A23" s="11" t="s">
        <v>68</v>
      </c>
      <c r="B23" s="12" t="s">
        <v>69</v>
      </c>
      <c r="C23" s="12" t="s">
        <v>70</v>
      </c>
      <c r="D23" s="13" t="s">
        <v>46</v>
      </c>
      <c r="E23" s="13" t="s">
        <v>46</v>
      </c>
      <c r="F23" s="13" t="s">
        <v>46</v>
      </c>
      <c r="G23" s="13" t="s">
        <v>46</v>
      </c>
      <c r="H23" s="13" t="s">
        <v>46</v>
      </c>
      <c r="I23" s="13" t="s">
        <v>46</v>
      </c>
      <c r="J23" s="13" t="s">
        <v>46</v>
      </c>
      <c r="K23" s="13" t="s">
        <v>46</v>
      </c>
      <c r="L23" s="14" t="s">
        <v>47</v>
      </c>
      <c r="M23" s="14" t="s">
        <v>47</v>
      </c>
      <c r="N23" s="14" t="n">
        <v>0</v>
      </c>
      <c r="O23" s="14" t="s">
        <v>48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4" min="3" style="0" width="9"/>
    <col collapsed="false" customWidth="true" hidden="false" outlineLevel="0" max="5" min="5" style="0" width="8"/>
    <col collapsed="false" customWidth="true" hidden="false" outlineLevel="0" max="6" min="6" style="0" width="7"/>
  </cols>
  <sheetData>
    <row r="1" customFormat="false" ht="25.5" hidden="false" customHeight="true" outlineLevel="0" collapsed="false">
      <c r="A1" s="1" t="s">
        <v>71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5" t="s">
        <v>2</v>
      </c>
      <c r="B2" s="15" t="s">
        <v>4</v>
      </c>
      <c r="C2" s="15" t="s">
        <v>72</v>
      </c>
      <c r="D2" s="15" t="s">
        <v>73</v>
      </c>
      <c r="E2" s="15" t="s">
        <v>74</v>
      </c>
      <c r="F2" s="15" t="s">
        <v>16</v>
      </c>
    </row>
    <row r="3" customFormat="false" ht="16.5" hidden="false" customHeight="true" outlineLevel="0" collapsed="false">
      <c r="A3" s="16" t="s">
        <v>17</v>
      </c>
      <c r="B3" s="17" t="s">
        <v>19</v>
      </c>
      <c r="C3" s="18" t="str">
        <f aca="false">'Data Entry'!L4</f>
        <v>YES</v>
      </c>
      <c r="D3" s="18" t="str">
        <f aca="false">'Data Entry'!M4</f>
        <v>YES</v>
      </c>
      <c r="E3" s="18" t="n">
        <f aca="false">'Data Entry'!N4</f>
        <v>100</v>
      </c>
      <c r="F3" s="18" t="str">
        <f aca="false">'Data Entry'!O4</f>
        <v>A</v>
      </c>
    </row>
    <row r="4" customFormat="false" ht="16.5" hidden="false" customHeight="true" outlineLevel="0" collapsed="false">
      <c r="A4" s="16" t="s">
        <v>21</v>
      </c>
      <c r="B4" s="17" t="s">
        <v>23</v>
      </c>
      <c r="C4" s="18" t="str">
        <f aca="false">'Data Entry'!L5</f>
        <v>YES</v>
      </c>
      <c r="D4" s="18" t="str">
        <f aca="false">'Data Entry'!M5</f>
        <v>YES</v>
      </c>
      <c r="E4" s="18" t="n">
        <f aca="false">'Data Entry'!N5</f>
        <v>100</v>
      </c>
      <c r="F4" s="18" t="str">
        <f aca="false">'Data Entry'!O5</f>
        <v>A</v>
      </c>
    </row>
    <row r="5" customFormat="false" ht="16.5" hidden="false" customHeight="true" outlineLevel="0" collapsed="false">
      <c r="A5" s="16" t="s">
        <v>24</v>
      </c>
      <c r="B5" s="17" t="s">
        <v>26</v>
      </c>
      <c r="C5" s="18" t="str">
        <f aca="false">'Data Entry'!L6</f>
        <v>YES</v>
      </c>
      <c r="D5" s="18" t="str">
        <f aca="false">'Data Entry'!M6</f>
        <v>NO</v>
      </c>
      <c r="E5" s="18" t="n">
        <f aca="false">'Data Entry'!N6</f>
        <v>80</v>
      </c>
      <c r="F5" s="18" t="str">
        <f aca="false">'Data Entry'!O6</f>
        <v>A</v>
      </c>
    </row>
    <row r="6" customFormat="false" ht="16.5" hidden="false" customHeight="true" outlineLevel="0" collapsed="false">
      <c r="A6" s="16" t="s">
        <v>27</v>
      </c>
      <c r="B6" s="17" t="s">
        <v>29</v>
      </c>
      <c r="C6" s="18" t="str">
        <f aca="false">'Data Entry'!L7</f>
        <v>YES</v>
      </c>
      <c r="D6" s="18" t="str">
        <f aca="false">'Data Entry'!M7</f>
        <v>NO</v>
      </c>
      <c r="E6" s="18" t="n">
        <f aca="false">'Data Entry'!N7</f>
        <v>90</v>
      </c>
      <c r="F6" s="18" t="str">
        <f aca="false">'Data Entry'!O7</f>
        <v>A</v>
      </c>
    </row>
    <row r="7" customFormat="false" ht="16.5" hidden="false" customHeight="true" outlineLevel="0" collapsed="false">
      <c r="A7" s="16" t="s">
        <v>30</v>
      </c>
      <c r="B7" s="17" t="s">
        <v>32</v>
      </c>
      <c r="C7" s="18" t="str">
        <f aca="false">'Data Entry'!L8</f>
        <v>YES</v>
      </c>
      <c r="D7" s="18" t="str">
        <f aca="false">'Data Entry'!M8</f>
        <v>NO</v>
      </c>
      <c r="E7" s="18" t="n">
        <f aca="false">'Data Entry'!N8</f>
        <v>90</v>
      </c>
      <c r="F7" s="18" t="str">
        <f aca="false">'Data Entry'!O8</f>
        <v>A</v>
      </c>
    </row>
    <row r="8" customFormat="false" ht="16.5" hidden="false" customHeight="true" outlineLevel="0" collapsed="false">
      <c r="A8" s="16" t="s">
        <v>33</v>
      </c>
      <c r="B8" s="17" t="s">
        <v>35</v>
      </c>
      <c r="C8" s="18" t="str">
        <f aca="false">'Data Entry'!L9</f>
        <v>YES</v>
      </c>
      <c r="D8" s="18" t="str">
        <f aca="false">'Data Entry'!M9</f>
        <v>NO</v>
      </c>
      <c r="E8" s="18" t="n">
        <f aca="false">'Data Entry'!N9</f>
        <v>80</v>
      </c>
      <c r="F8" s="18" t="str">
        <f aca="false">'Data Entry'!O9</f>
        <v>A</v>
      </c>
    </row>
    <row r="9" customFormat="false" ht="16.5" hidden="false" customHeight="true" outlineLevel="0" collapsed="false">
      <c r="A9" s="16" t="s">
        <v>36</v>
      </c>
      <c r="B9" s="17" t="s">
        <v>35</v>
      </c>
      <c r="C9" s="18" t="str">
        <f aca="false">'Data Entry'!L10</f>
        <v>YES</v>
      </c>
      <c r="D9" s="18" t="str">
        <f aca="false">'Data Entry'!M10</f>
        <v>NO</v>
      </c>
      <c r="E9" s="18" t="n">
        <f aca="false">'Data Entry'!N10</f>
        <v>80</v>
      </c>
      <c r="F9" s="18" t="str">
        <f aca="false">'Data Entry'!O10</f>
        <v>A</v>
      </c>
    </row>
    <row r="10" customFormat="false" ht="16.5" hidden="false" customHeight="true" outlineLevel="0" collapsed="false">
      <c r="A10" s="16" t="s">
        <v>38</v>
      </c>
      <c r="B10" s="17" t="s">
        <v>35</v>
      </c>
      <c r="C10" s="18" t="str">
        <f aca="false">'Data Entry'!L11</f>
        <v>YES</v>
      </c>
      <c r="D10" s="18" t="str">
        <f aca="false">'Data Entry'!M11</f>
        <v>NO</v>
      </c>
      <c r="E10" s="18" t="n">
        <f aca="false">'Data Entry'!N11</f>
        <v>80</v>
      </c>
      <c r="F10" s="18" t="str">
        <f aca="false">'Data Entry'!O11</f>
        <v>A</v>
      </c>
    </row>
    <row r="11" customFormat="false" ht="16.5" hidden="false" customHeight="true" outlineLevel="0" collapsed="false">
      <c r="A11" s="16" t="s">
        <v>40</v>
      </c>
      <c r="B11" s="17" t="s">
        <v>42</v>
      </c>
      <c r="C11" s="18" t="str">
        <f aca="false">'Data Entry'!L12</f>
        <v>YES</v>
      </c>
      <c r="D11" s="18" t="str">
        <f aca="false">'Data Entry'!M12</f>
        <v>YES</v>
      </c>
      <c r="E11" s="18" t="n">
        <f aca="false">'Data Entry'!N12</f>
        <v>100</v>
      </c>
      <c r="F11" s="18" t="str">
        <f aca="false">'Data Entry'!O12</f>
        <v>A</v>
      </c>
    </row>
    <row r="12" customFormat="false" ht="16.5" hidden="false" customHeight="true" outlineLevel="0" collapsed="false">
      <c r="A12" s="19" t="s">
        <v>43</v>
      </c>
      <c r="B12" s="20" t="s">
        <v>45</v>
      </c>
      <c r="C12" s="21" t="str">
        <f aca="false">'Data Entry'!L13</f>
        <v>NO</v>
      </c>
      <c r="D12" s="21" t="str">
        <f aca="false">'Data Entry'!M13</f>
        <v>NO</v>
      </c>
      <c r="E12" s="21" t="n">
        <f aca="false">'Data Entry'!N13</f>
        <v>0</v>
      </c>
      <c r="F12" s="21" t="str">
        <f aca="false">'Data Entry'!O13</f>
        <v>D</v>
      </c>
    </row>
    <row r="13" customFormat="false" ht="16.5" hidden="false" customHeight="true" outlineLevel="0" collapsed="false">
      <c r="A13" s="19" t="s">
        <v>49</v>
      </c>
      <c r="B13" s="20" t="s">
        <v>45</v>
      </c>
      <c r="C13" s="21" t="str">
        <f aca="false">'Data Entry'!L14</f>
        <v>NO</v>
      </c>
      <c r="D13" s="21" t="str">
        <f aca="false">'Data Entry'!M14</f>
        <v>NO</v>
      </c>
      <c r="E13" s="21" t="n">
        <f aca="false">'Data Entry'!N14</f>
        <v>0</v>
      </c>
      <c r="F13" s="21" t="str">
        <f aca="false">'Data Entry'!O14</f>
        <v>D</v>
      </c>
    </row>
    <row r="14" customFormat="false" ht="16.5" hidden="false" customHeight="true" outlineLevel="0" collapsed="false">
      <c r="A14" s="19" t="s">
        <v>51</v>
      </c>
      <c r="B14" s="20" t="s">
        <v>45</v>
      </c>
      <c r="C14" s="21" t="str">
        <f aca="false">'Data Entry'!L15</f>
        <v>NO</v>
      </c>
      <c r="D14" s="21" t="str">
        <f aca="false">'Data Entry'!M15</f>
        <v>NO</v>
      </c>
      <c r="E14" s="21" t="n">
        <f aca="false">'Data Entry'!N15</f>
        <v>0</v>
      </c>
      <c r="F14" s="21" t="str">
        <f aca="false">'Data Entry'!O15</f>
        <v>D</v>
      </c>
    </row>
    <row r="15" customFormat="false" ht="16.5" hidden="false" customHeight="true" outlineLevel="0" collapsed="false">
      <c r="A15" s="19" t="s">
        <v>53</v>
      </c>
      <c r="B15" s="20" t="s">
        <v>45</v>
      </c>
      <c r="C15" s="21" t="str">
        <f aca="false">'Data Entry'!L16</f>
        <v>NO</v>
      </c>
      <c r="D15" s="21" t="str">
        <f aca="false">'Data Entry'!M16</f>
        <v>NO</v>
      </c>
      <c r="E15" s="21" t="n">
        <f aca="false">'Data Entry'!N16</f>
        <v>0</v>
      </c>
      <c r="F15" s="21" t="str">
        <f aca="false">'Data Entry'!O16</f>
        <v>D</v>
      </c>
    </row>
    <row r="16" customFormat="false" ht="16.5" hidden="false" customHeight="true" outlineLevel="0" collapsed="false">
      <c r="A16" s="19" t="s">
        <v>55</v>
      </c>
      <c r="B16" s="20" t="s">
        <v>45</v>
      </c>
      <c r="C16" s="21" t="str">
        <f aca="false">'Data Entry'!L17</f>
        <v>NO</v>
      </c>
      <c r="D16" s="21" t="str">
        <f aca="false">'Data Entry'!M17</f>
        <v>NO</v>
      </c>
      <c r="E16" s="21" t="n">
        <f aca="false">'Data Entry'!N17</f>
        <v>0</v>
      </c>
      <c r="F16" s="21" t="str">
        <f aca="false">'Data Entry'!O17</f>
        <v>D</v>
      </c>
    </row>
    <row r="17" customFormat="false" ht="16.5" hidden="false" customHeight="true" outlineLevel="0" collapsed="false">
      <c r="A17" s="19" t="s">
        <v>57</v>
      </c>
      <c r="B17" s="20" t="s">
        <v>45</v>
      </c>
      <c r="C17" s="21" t="str">
        <f aca="false">'Data Entry'!L18</f>
        <v>NO</v>
      </c>
      <c r="D17" s="21" t="str">
        <f aca="false">'Data Entry'!M18</f>
        <v>NO</v>
      </c>
      <c r="E17" s="21" t="n">
        <f aca="false">'Data Entry'!N18</f>
        <v>0</v>
      </c>
      <c r="F17" s="21" t="str">
        <f aca="false">'Data Entry'!O18</f>
        <v>D</v>
      </c>
    </row>
    <row r="18" customFormat="false" ht="16.5" hidden="false" customHeight="true" outlineLevel="0" collapsed="false">
      <c r="A18" s="19" t="s">
        <v>59</v>
      </c>
      <c r="B18" s="20" t="s">
        <v>45</v>
      </c>
      <c r="C18" s="21" t="str">
        <f aca="false">'Data Entry'!L19</f>
        <v>NO</v>
      </c>
      <c r="D18" s="21" t="str">
        <f aca="false">'Data Entry'!M19</f>
        <v>NO</v>
      </c>
      <c r="E18" s="21" t="n">
        <f aca="false">'Data Entry'!N19</f>
        <v>0</v>
      </c>
      <c r="F18" s="21" t="str">
        <f aca="false">'Data Entry'!O19</f>
        <v>D</v>
      </c>
    </row>
    <row r="19" customFormat="false" ht="16.5" hidden="false" customHeight="true" outlineLevel="0" collapsed="false">
      <c r="A19" s="19" t="s">
        <v>61</v>
      </c>
      <c r="B19" s="20" t="s">
        <v>45</v>
      </c>
      <c r="C19" s="21" t="str">
        <f aca="false">'Data Entry'!L20</f>
        <v>NO</v>
      </c>
      <c r="D19" s="21" t="str">
        <f aca="false">'Data Entry'!M20</f>
        <v>NO</v>
      </c>
      <c r="E19" s="21" t="n">
        <f aca="false">'Data Entry'!N20</f>
        <v>0</v>
      </c>
      <c r="F19" s="21" t="str">
        <f aca="false">'Data Entry'!O20</f>
        <v>D</v>
      </c>
    </row>
    <row r="20" customFormat="false" ht="16.5" hidden="false" customHeight="true" outlineLevel="0" collapsed="false">
      <c r="A20" s="19" t="s">
        <v>63</v>
      </c>
      <c r="B20" s="20" t="s">
        <v>45</v>
      </c>
      <c r="C20" s="21" t="str">
        <f aca="false">'Data Entry'!L21</f>
        <v>NO</v>
      </c>
      <c r="D20" s="21" t="str">
        <f aca="false">'Data Entry'!M21</f>
        <v>NO</v>
      </c>
      <c r="E20" s="21" t="n">
        <f aca="false">'Data Entry'!N21</f>
        <v>0</v>
      </c>
      <c r="F20" s="21" t="str">
        <f aca="false">'Data Entry'!O21</f>
        <v>D</v>
      </c>
    </row>
    <row r="21" customFormat="false" ht="16.5" hidden="false" customHeight="true" outlineLevel="0" collapsed="false">
      <c r="A21" s="19" t="s">
        <v>65</v>
      </c>
      <c r="B21" s="20" t="s">
        <v>67</v>
      </c>
      <c r="C21" s="21" t="str">
        <f aca="false">'Data Entry'!L22</f>
        <v>NO</v>
      </c>
      <c r="D21" s="21" t="str">
        <f aca="false">'Data Entry'!M22</f>
        <v>NO</v>
      </c>
      <c r="E21" s="21" t="n">
        <f aca="false">'Data Entry'!N22</f>
        <v>0</v>
      </c>
      <c r="F21" s="21" t="str">
        <f aca="false">'Data Entry'!O22</f>
        <v>D</v>
      </c>
    </row>
    <row r="22" customFormat="false" ht="16.5" hidden="false" customHeight="true" outlineLevel="0" collapsed="false">
      <c r="A22" s="19" t="s">
        <v>68</v>
      </c>
      <c r="B22" s="20" t="s">
        <v>70</v>
      </c>
      <c r="C22" s="21" t="str">
        <f aca="false">'Data Entry'!L23</f>
        <v>NO</v>
      </c>
      <c r="D22" s="21" t="str">
        <f aca="false">'Data Entry'!M23</f>
        <v>NO</v>
      </c>
      <c r="E22" s="21" t="n">
        <f aca="false">'Data Entry'!N23</f>
        <v>0</v>
      </c>
      <c r="F22" s="21" t="str">
        <f aca="false">'Data Entry'!O23</f>
        <v>D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</cols>
  <sheetData>
    <row r="1" customFormat="false" ht="24" hidden="false" customHeight="true" outlineLevel="0" collapsed="false">
      <c r="A1" s="22" t="s">
        <v>75</v>
      </c>
      <c r="B1" s="22"/>
    </row>
    <row r="2" customFormat="false" ht="18" hidden="false" customHeight="true" outlineLevel="0" collapsed="false">
      <c r="A2" s="23" t="s">
        <v>2</v>
      </c>
      <c r="B2" s="24" t="s">
        <v>76</v>
      </c>
    </row>
    <row r="3" customFormat="false" ht="30" hidden="false" customHeight="true" outlineLevel="0" collapsed="false">
      <c r="A3" s="23" t="s">
        <v>17</v>
      </c>
      <c r="B3" s="24" t="s">
        <v>77</v>
      </c>
    </row>
    <row r="4" customFormat="false" ht="30" hidden="false" customHeight="true" outlineLevel="0" collapsed="false">
      <c r="A4" s="23" t="s">
        <v>21</v>
      </c>
      <c r="B4" s="24" t="s">
        <v>78</v>
      </c>
    </row>
    <row r="5" customFormat="false" ht="30" hidden="false" customHeight="true" outlineLevel="0" collapsed="false">
      <c r="A5" s="23" t="s">
        <v>24</v>
      </c>
      <c r="B5" s="24" t="s">
        <v>79</v>
      </c>
    </row>
    <row r="6" customFormat="false" ht="30" hidden="false" customHeight="true" outlineLevel="0" collapsed="false">
      <c r="A6" s="23" t="s">
        <v>27</v>
      </c>
      <c r="B6" s="24" t="s">
        <v>80</v>
      </c>
    </row>
    <row r="7" customFormat="false" ht="30" hidden="false" customHeight="true" outlineLevel="0" collapsed="false">
      <c r="A7" s="23" t="s">
        <v>30</v>
      </c>
      <c r="B7" s="24" t="s">
        <v>81</v>
      </c>
    </row>
    <row r="8" customFormat="false" ht="30" hidden="false" customHeight="true" outlineLevel="0" collapsed="false">
      <c r="A8" s="23" t="s">
        <v>33</v>
      </c>
      <c r="B8" s="24" t="s">
        <v>82</v>
      </c>
    </row>
    <row r="9" customFormat="false" ht="30" hidden="false" customHeight="true" outlineLevel="0" collapsed="false">
      <c r="A9" s="23" t="s">
        <v>36</v>
      </c>
      <c r="B9" s="24" t="s">
        <v>83</v>
      </c>
    </row>
    <row r="10" customFormat="false" ht="30" hidden="false" customHeight="true" outlineLevel="0" collapsed="false">
      <c r="A10" s="23" t="s">
        <v>38</v>
      </c>
      <c r="B10" s="24" t="s">
        <v>84</v>
      </c>
    </row>
    <row r="11" customFormat="false" ht="30" hidden="false" customHeight="true" outlineLevel="0" collapsed="false">
      <c r="A11" s="23" t="s">
        <v>40</v>
      </c>
      <c r="B11" s="24" t="s">
        <v>85</v>
      </c>
    </row>
    <row r="12" customFormat="false" ht="18" hidden="false" customHeight="true" outlineLevel="0" collapsed="false">
      <c r="A12" s="23"/>
      <c r="B12" s="24"/>
    </row>
    <row r="13" customFormat="false" ht="30" hidden="false" customHeight="true" outlineLevel="0" collapsed="false">
      <c r="A13" s="23" t="s">
        <v>86</v>
      </c>
      <c r="B13" s="24" t="s">
        <v>87</v>
      </c>
    </row>
    <row r="14" customFormat="false" ht="18" hidden="false" customHeight="true" outlineLevel="0" collapsed="false">
      <c r="A14" s="23" t="s">
        <v>86</v>
      </c>
      <c r="B14" s="24" t="s">
        <v>88</v>
      </c>
    </row>
    <row r="15" customFormat="false" ht="30" hidden="false" customHeight="true" outlineLevel="0" collapsed="false">
      <c r="A15" s="23" t="s">
        <v>86</v>
      </c>
      <c r="B15" s="24" t="s">
        <v>89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2026-05-30T17:53:34Z</dcterms:created>
  <dc:creator>openpyxl</dc:creator>
  <dc:description/>
  <dc:language>en-US</dc:language>
  <cp:lastModifiedBy/>
  <dcterms:modified xsi:type="dcterms:W3CDTF">2026-05-30T17:53:34Z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